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4765CA6C-C263-4B23-AEA8-4290CABB80AA}" xr6:coauthVersionLast="47" xr6:coauthVersionMax="47" xr10:uidLastSave="{00000000-0000-0000-0000-000000000000}"/>
  <bookViews>
    <workbookView xWindow="-110" yWindow="-110" windowWidth="19420" windowHeight="10300" xr2:uid="{E9801C13-636C-4F0A-8049-B3736245F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45" i="1"/>
  <c r="C44" i="1"/>
  <c r="C43" i="1"/>
  <c r="C42" i="1"/>
  <c r="C41" i="1"/>
  <c r="F4" i="1"/>
  <c r="E4" i="1"/>
  <c r="D4" i="1"/>
  <c r="C12" i="1"/>
  <c r="C8" i="1"/>
  <c r="C9" i="1"/>
  <c r="C17" i="1"/>
  <c r="C5" i="1"/>
  <c r="C19" i="1"/>
  <c r="C23" i="1"/>
  <c r="C13" i="1"/>
  <c r="C31" i="1"/>
  <c r="C20" i="1"/>
  <c r="C21" i="1"/>
  <c r="C11" i="1"/>
  <c r="C15" i="1"/>
  <c r="C16" i="1"/>
  <c r="C10" i="1"/>
  <c r="C24" i="1"/>
  <c r="C34" i="1"/>
  <c r="C35" i="1"/>
  <c r="C14" i="1"/>
  <c r="C33" i="1"/>
  <c r="C26" i="1"/>
  <c r="C25" i="1"/>
  <c r="C27" i="1"/>
  <c r="C22" i="1"/>
  <c r="C7" i="1"/>
  <c r="C29" i="1"/>
  <c r="C6" i="1"/>
  <c r="C32" i="1"/>
  <c r="C28" i="1"/>
  <c r="C37" i="1"/>
  <c r="C38" i="1"/>
  <c r="C36" i="1"/>
  <c r="C30" i="1"/>
  <c r="C18" i="1"/>
</calcChain>
</file>

<file path=xl/sharedStrings.xml><?xml version="1.0" encoding="utf-8"?>
<sst xmlns="http://schemas.openxmlformats.org/spreadsheetml/2006/main" count="50" uniqueCount="38">
  <si>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</si>
  <si>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</si>
  <si>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</si>
  <si>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</si>
  <si>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</si>
  <si>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</si>
  <si>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</si>
  <si>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</si>
  <si>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</si>
  <si>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</si>
  <si>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</si>
  <si>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</si>
  <si>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</si>
  <si>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</si>
  <si>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</si>
  <si>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</si>
  <si>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</si>
  <si>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</si>
  <si>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</si>
  <si>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</si>
  <si>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</si>
  <si>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</si>
  <si>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</si>
  <si>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</si>
  <si>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</si>
  <si>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</si>
  <si>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</si>
  <si>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</si>
  <si>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</si>
  <si>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</si>
  <si>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</si>
  <si>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</si>
  <si>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</si>
  <si>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</si>
  <si>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</si>
  <si>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</si>
  <si>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</si>
  <si>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Jumlah Kemiskinan di Jawa Tengah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</si>
</sst>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Tengah Tahun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Kebumen</c:v>
                </c:pt>
                <c:pt idx="1">
                  <c:v>Wonosobo</c:v>
                </c:pt>
                <c:pt idx="2">
                  <c:v>Brebes</c:v>
                </c:pt>
                <c:pt idx="3">
                  <c:v>Pemalang</c:v>
                </c:pt>
                <c:pt idx="4">
                  <c:v>Purbalingga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17.59</c:v>
                </c:pt>
                <c:pt idx="1">
                  <c:v>17.36</c:v>
                </c:pt>
                <c:pt idx="2">
                  <c:v>17.03</c:v>
                </c:pt>
                <c:pt idx="3">
                  <c:v>16.02</c:v>
                </c:pt>
                <c:pt idx="4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F-4363-BE81-BD6A96010AA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Kebumen</c:v>
                </c:pt>
                <c:pt idx="1">
                  <c:v>Wonosobo</c:v>
                </c:pt>
                <c:pt idx="2">
                  <c:v>Brebes</c:v>
                </c:pt>
                <c:pt idx="3">
                  <c:v>Pemalang</c:v>
                </c:pt>
                <c:pt idx="4">
                  <c:v>Purbalingga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F-4363-BE81-BD6A96010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3902784"/>
        <c:axId val="363903744"/>
      </c:barChart>
      <c:catAx>
        <c:axId val="3639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3903744"/>
        <c:crosses val="autoZero"/>
        <c:auto val="1"/>
        <c:lblAlgn val="ctr"/>
        <c:lblOffset val="100"/>
        <c:noMultiLvlLbl val="0"/>
      </c:catAx>
      <c:valAx>
        <c:axId val="3639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390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Tengah Tahun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Sheet1!$A$41:$A$45</c:f>
              <c:strCache>
                <c:ptCount val="5"/>
                <c:pt idx="0">
                  <c:v>Kudus</c:v>
                </c:pt>
                <c:pt idx="1">
                  <c:v>Jepara</c:v>
                </c:pt>
                <c:pt idx="2">
                  <c:v>Pekalongan</c:v>
                </c:pt>
                <c:pt idx="3">
                  <c:v>Salatiga</c:v>
                </c:pt>
                <c:pt idx="4">
                  <c:v>Semarang</c:v>
                </c:pt>
              </c:strCache>
            </c:strRef>
          </c:cat>
          <c:val>
            <c:numRef>
              <c:f>Sheet1!$B$41:$B$45</c:f>
              <c:numCache>
                <c:formatCode>General</c:formatCode>
                <c:ptCount val="5"/>
                <c:pt idx="0">
                  <c:v>7.31</c:v>
                </c:pt>
                <c:pt idx="1">
                  <c:v>7.17</c:v>
                </c:pt>
                <c:pt idx="2">
                  <c:v>7.17</c:v>
                </c:pt>
                <c:pt idx="3">
                  <c:v>4.9400000000000004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7-4533-9CA4-63FF721B1E81}"/>
            </c:ext>
          </c:extLst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Sheet1!$A$41:$A$45</c:f>
              <c:strCache>
                <c:ptCount val="5"/>
                <c:pt idx="0">
                  <c:v>Kudus</c:v>
                </c:pt>
                <c:pt idx="1">
                  <c:v>Jepara</c:v>
                </c:pt>
                <c:pt idx="2">
                  <c:v>Pekalongan</c:v>
                </c:pt>
                <c:pt idx="3">
                  <c:v>Salatiga</c:v>
                </c:pt>
                <c:pt idx="4">
                  <c:v>Semarang</c:v>
                </c:pt>
              </c:strCache>
            </c:strRef>
          </c:cat>
          <c:val>
            <c:numRef>
              <c:f>Sheet1!$C$41:$C$45</c:f>
              <c:numCache>
                <c:formatCode>General</c:formatCode>
                <c:ptCount val="5"/>
                <c:pt idx="0">
                  <c:v>31</c:v>
                </c:pt>
                <c:pt idx="1">
                  <c:v>32</c:v>
                </c:pt>
                <c:pt idx="2">
                  <c:v>32</c:v>
                </c:pt>
                <c:pt idx="3">
                  <c:v>34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7-4533-9CA4-63FF721B1E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3912864"/>
        <c:axId val="363907584"/>
      </c:barChart>
      <c:catAx>
        <c:axId val="3639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3907584"/>
        <c:crosses val="autoZero"/>
        <c:auto val="1"/>
        <c:lblAlgn val="ctr"/>
        <c:lblOffset val="100"/>
        <c:noMultiLvlLbl val="0"/>
      </c:catAx>
      <c:valAx>
        <c:axId val="36390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39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</xdr:colOff>
      <xdr:row>46</xdr:row>
      <xdr:rowOff>34924</xdr:rowOff>
    </xdr:from>
    <xdr:to>
      <xdr:col>5</xdr:col>
      <xdr:colOff>774700</xdr:colOff>
      <xdr:row>63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59294-A653-A714-9E74-A249B6527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</xdr:colOff>
      <xdr:row>65</xdr:row>
      <xdr:rowOff>34924</xdr:rowOff>
    </xdr:from>
    <xdr:to>
      <xdr:col>6</xdr:col>
      <xdr:colOff>0</xdr:colOff>
      <xdr:row>82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5981B-CB67-4AB3-8C63-10603A4F3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3E45-80A6-4B12-B45F-0F62D046DEA8}">
  <dimension ref="A1:F45"/>
  <sheetViews>
    <sheetView tabSelected="1" topLeftCell="A56" zoomScaleNormal="100" workbookViewId="0">
      <selection activeCell="H56" sqref="H56"/>
    </sheetView>
  </sheetViews>
  <sheetFormatPr defaultRowHeight="15.5" x14ac:dyDescent="0.35"/>
  <cols>
    <col min="1" max="1" width="12.7265625" style="4" customWidth="1"/>
    <col min="2" max="2" width="13.08984375" style="4" customWidth="1"/>
    <col min="3" max="3" width="10.7265625" style="4" customWidth="1"/>
    <col min="4" max="4" width="13.26953125" style="4" customWidth="1"/>
    <col min="5" max="5" width="11" style="4" customWidth="1"/>
    <col min="6" max="6" width="11.26953125" style="4" customWidth="1"/>
    <col min="7" max="16384" width="8.7265625" style="4"/>
  </cols>
  <sheetData>
    <row r="1" spans="1:6" x14ac:dyDescent="0.35">
      <c r="A1" s="1" t="s">
        <v>37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10</v>
      </c>
      <c r="B4" s="7">
        <v>17.59</v>
      </c>
      <c r="C4" s="7">
        <f>RANK(B4,$B$4:$B$38,0)</f>
        <v>1</v>
      </c>
      <c r="D4" s="8">
        <f>AVERAGE($B$4:$B$38)</f>
        <v>11.013714285714286</v>
      </c>
      <c r="E4" s="7">
        <f>MAX($B$4:$B$38)</f>
        <v>17.59</v>
      </c>
      <c r="F4" s="7">
        <f>MIN($B$4:$B$38)</f>
        <v>4.34</v>
      </c>
    </row>
    <row r="5" spans="1:6" x14ac:dyDescent="0.35">
      <c r="A5" s="7" t="s">
        <v>12</v>
      </c>
      <c r="B5" s="7">
        <v>17.36</v>
      </c>
      <c r="C5" s="7">
        <f t="shared" ref="C5:C38" si="0">RANK(B5,$B$4:$B$38,0)</f>
        <v>2</v>
      </c>
      <c r="D5" s="7"/>
      <c r="E5" s="7"/>
      <c r="F5" s="7"/>
    </row>
    <row r="6" spans="1:6" x14ac:dyDescent="0.35">
      <c r="A6" s="7" t="s">
        <v>34</v>
      </c>
      <c r="B6" s="7">
        <v>17.03</v>
      </c>
      <c r="C6" s="7">
        <f t="shared" si="0"/>
        <v>3</v>
      </c>
      <c r="D6" s="7"/>
      <c r="E6" s="7"/>
      <c r="F6" s="7"/>
    </row>
    <row r="7" spans="1:6" x14ac:dyDescent="0.35">
      <c r="A7" s="7" t="s">
        <v>32</v>
      </c>
      <c r="B7" s="7">
        <v>16.02</v>
      </c>
      <c r="C7" s="7">
        <f t="shared" si="0"/>
        <v>4</v>
      </c>
      <c r="D7" s="7"/>
      <c r="E7" s="7"/>
      <c r="F7" s="7"/>
    </row>
    <row r="8" spans="1:6" x14ac:dyDescent="0.35">
      <c r="A8" s="7" t="s">
        <v>8</v>
      </c>
      <c r="B8" s="7">
        <v>15.9</v>
      </c>
      <c r="C8" s="7">
        <f t="shared" si="0"/>
        <v>5</v>
      </c>
      <c r="D8" s="7"/>
      <c r="E8" s="7"/>
      <c r="F8" s="7"/>
    </row>
    <row r="9" spans="1:6" x14ac:dyDescent="0.35">
      <c r="A9" s="7" t="s">
        <v>9</v>
      </c>
      <c r="B9" s="7">
        <v>15.64</v>
      </c>
      <c r="C9" s="7">
        <f t="shared" si="0"/>
        <v>6</v>
      </c>
      <c r="D9" s="7"/>
      <c r="E9" s="7"/>
      <c r="F9" s="7"/>
    </row>
    <row r="10" spans="1:6" x14ac:dyDescent="0.35">
      <c r="A10" s="7" t="s">
        <v>22</v>
      </c>
      <c r="B10" s="7">
        <v>15.6</v>
      </c>
      <c r="C10" s="7">
        <f t="shared" si="0"/>
        <v>7</v>
      </c>
      <c r="D10" s="7"/>
      <c r="E10" s="7"/>
      <c r="F10" s="7"/>
    </row>
    <row r="11" spans="1:6" x14ac:dyDescent="0.35">
      <c r="A11" s="7" t="s">
        <v>19</v>
      </c>
      <c r="B11" s="7">
        <v>13.38</v>
      </c>
      <c r="C11" s="7">
        <f t="shared" si="0"/>
        <v>8</v>
      </c>
      <c r="D11" s="7"/>
      <c r="E11" s="7"/>
      <c r="F11" s="7"/>
    </row>
    <row r="12" spans="1:6" x14ac:dyDescent="0.35">
      <c r="A12" s="7" t="s">
        <v>7</v>
      </c>
      <c r="B12" s="7">
        <v>13.26</v>
      </c>
      <c r="C12" s="7">
        <f t="shared" si="0"/>
        <v>9</v>
      </c>
      <c r="D12" s="7"/>
      <c r="E12" s="7"/>
      <c r="F12" s="7"/>
    </row>
    <row r="13" spans="1:6" x14ac:dyDescent="0.35">
      <c r="A13" s="7" t="s">
        <v>15</v>
      </c>
      <c r="B13" s="7">
        <v>12.89</v>
      </c>
      <c r="C13" s="7">
        <f t="shared" si="0"/>
        <v>10</v>
      </c>
      <c r="D13" s="7"/>
      <c r="E13" s="7"/>
      <c r="F13" s="7"/>
    </row>
    <row r="14" spans="1:6" x14ac:dyDescent="0.35">
      <c r="A14" s="7" t="s">
        <v>26</v>
      </c>
      <c r="B14" s="7">
        <v>12.54</v>
      </c>
      <c r="C14" s="7">
        <f t="shared" si="0"/>
        <v>11</v>
      </c>
      <c r="D14" s="7"/>
      <c r="E14" s="7"/>
      <c r="F14" s="7"/>
    </row>
    <row r="15" spans="1:6" x14ac:dyDescent="0.35">
      <c r="A15" s="7" t="s">
        <v>20</v>
      </c>
      <c r="B15" s="7">
        <v>12.46</v>
      </c>
      <c r="C15" s="7">
        <f t="shared" si="0"/>
        <v>12</v>
      </c>
      <c r="D15" s="7"/>
      <c r="E15" s="7"/>
      <c r="F15" s="7"/>
    </row>
    <row r="16" spans="1:6" x14ac:dyDescent="0.35">
      <c r="A16" s="7" t="s">
        <v>21</v>
      </c>
      <c r="B16" s="7">
        <v>11.96</v>
      </c>
      <c r="C16" s="7">
        <f t="shared" si="0"/>
        <v>13</v>
      </c>
      <c r="D16" s="7"/>
      <c r="E16" s="7"/>
      <c r="F16" s="7"/>
    </row>
    <row r="17" spans="1:6" x14ac:dyDescent="0.35">
      <c r="A17" s="7" t="s">
        <v>11</v>
      </c>
      <c r="B17" s="7">
        <v>11.78</v>
      </c>
      <c r="C17" s="7">
        <f t="shared" si="0"/>
        <v>14</v>
      </c>
      <c r="D17" s="7"/>
      <c r="E17" s="7"/>
      <c r="F17" s="7"/>
    </row>
    <row r="18" spans="1:6" x14ac:dyDescent="0.35">
      <c r="A18" s="7" t="s">
        <v>6</v>
      </c>
      <c r="B18" s="7">
        <v>11.46</v>
      </c>
      <c r="C18" s="7">
        <f t="shared" si="0"/>
        <v>15</v>
      </c>
      <c r="D18" s="7"/>
      <c r="E18" s="7"/>
      <c r="F18" s="7"/>
    </row>
    <row r="19" spans="1:6" x14ac:dyDescent="0.35">
      <c r="A19" s="7" t="s">
        <v>13</v>
      </c>
      <c r="B19" s="7">
        <v>11.27</v>
      </c>
      <c r="C19" s="7">
        <f t="shared" si="0"/>
        <v>16</v>
      </c>
      <c r="D19" s="7"/>
      <c r="E19" s="7"/>
      <c r="F19" s="7"/>
    </row>
    <row r="20" spans="1:6" x14ac:dyDescent="0.35">
      <c r="A20" s="7" t="s">
        <v>17</v>
      </c>
      <c r="B20" s="7">
        <v>10.86</v>
      </c>
      <c r="C20" s="7">
        <f t="shared" si="0"/>
        <v>17</v>
      </c>
      <c r="D20" s="7"/>
      <c r="E20" s="7"/>
      <c r="F20" s="7"/>
    </row>
    <row r="21" spans="1:6" x14ac:dyDescent="0.35">
      <c r="A21" s="7" t="s">
        <v>18</v>
      </c>
      <c r="B21" s="7">
        <v>10.28</v>
      </c>
      <c r="C21" s="7">
        <f t="shared" si="0"/>
        <v>18</v>
      </c>
      <c r="D21" s="7"/>
      <c r="E21" s="7"/>
      <c r="F21" s="7"/>
    </row>
    <row r="22" spans="1:6" x14ac:dyDescent="0.35">
      <c r="A22" s="7" t="s">
        <v>31</v>
      </c>
      <c r="B22" s="7">
        <v>10.19</v>
      </c>
      <c r="C22" s="7">
        <f t="shared" si="0"/>
        <v>19</v>
      </c>
      <c r="D22" s="7"/>
      <c r="E22" s="7"/>
      <c r="F22" s="7"/>
    </row>
    <row r="23" spans="1:6" x14ac:dyDescent="0.35">
      <c r="A23" s="7" t="s">
        <v>14</v>
      </c>
      <c r="B23" s="7">
        <v>10.18</v>
      </c>
      <c r="C23" s="7">
        <f t="shared" si="0"/>
        <v>20</v>
      </c>
      <c r="D23" s="7"/>
      <c r="E23" s="7"/>
      <c r="F23" s="7"/>
    </row>
    <row r="24" spans="1:6" x14ac:dyDescent="0.35">
      <c r="A24" s="7" t="s">
        <v>23</v>
      </c>
      <c r="B24" s="7">
        <v>10.08</v>
      </c>
      <c r="C24" s="7">
        <f t="shared" si="0"/>
        <v>21</v>
      </c>
      <c r="D24" s="7"/>
      <c r="E24" s="7"/>
      <c r="F24" s="7"/>
    </row>
    <row r="25" spans="1:6" x14ac:dyDescent="0.35">
      <c r="A25" s="7" t="s">
        <v>29</v>
      </c>
      <c r="B25" s="7">
        <v>9.99</v>
      </c>
      <c r="C25" s="7">
        <f t="shared" si="0"/>
        <v>22</v>
      </c>
      <c r="D25" s="7"/>
      <c r="E25" s="7"/>
      <c r="F25" s="7"/>
    </row>
    <row r="26" spans="1:6" x14ac:dyDescent="0.35">
      <c r="A26" s="7" t="s">
        <v>28</v>
      </c>
      <c r="B26" s="7">
        <v>9.9600000000000009</v>
      </c>
      <c r="C26" s="7">
        <f t="shared" si="0"/>
        <v>23</v>
      </c>
      <c r="D26" s="7"/>
      <c r="E26" s="7"/>
      <c r="F26" s="7"/>
    </row>
    <row r="27" spans="1:6" x14ac:dyDescent="0.35">
      <c r="A27" s="7" t="s">
        <v>30</v>
      </c>
      <c r="B27" s="7">
        <v>9.1300000000000008</v>
      </c>
      <c r="C27" s="7">
        <f t="shared" si="0"/>
        <v>24</v>
      </c>
      <c r="D27" s="7"/>
      <c r="E27" s="7"/>
      <c r="F27" s="7"/>
    </row>
    <row r="28" spans="1:6" x14ac:dyDescent="0.35">
      <c r="A28" s="7" t="s">
        <v>35</v>
      </c>
      <c r="B28" s="7">
        <v>9.0299999999999994</v>
      </c>
      <c r="C28" s="7">
        <f t="shared" si="0"/>
        <v>25</v>
      </c>
      <c r="D28" s="7"/>
      <c r="E28" s="7"/>
      <c r="F28" s="7"/>
    </row>
    <row r="29" spans="1:6" x14ac:dyDescent="0.35">
      <c r="A29" s="7" t="s">
        <v>33</v>
      </c>
      <c r="B29" s="7">
        <v>8.14</v>
      </c>
      <c r="C29" s="7">
        <f t="shared" si="0"/>
        <v>26</v>
      </c>
      <c r="D29" s="7"/>
      <c r="E29" s="7"/>
      <c r="F29" s="7"/>
    </row>
    <row r="30" spans="1:6" x14ac:dyDescent="0.35">
      <c r="A30" s="7" t="s">
        <v>33</v>
      </c>
      <c r="B30" s="7">
        <v>7.8</v>
      </c>
      <c r="C30" s="7">
        <f t="shared" si="0"/>
        <v>27</v>
      </c>
      <c r="D30" s="7"/>
      <c r="E30" s="7"/>
      <c r="F30" s="7"/>
    </row>
    <row r="31" spans="1:6" x14ac:dyDescent="0.35">
      <c r="A31" s="7" t="s">
        <v>16</v>
      </c>
      <c r="B31" s="7">
        <v>7.68</v>
      </c>
      <c r="C31" s="7">
        <f t="shared" si="0"/>
        <v>28</v>
      </c>
      <c r="D31" s="7"/>
      <c r="E31" s="7"/>
      <c r="F31" s="7"/>
    </row>
    <row r="32" spans="1:6" x14ac:dyDescent="0.35">
      <c r="A32" s="7" t="s">
        <v>13</v>
      </c>
      <c r="B32" s="7">
        <v>7.58</v>
      </c>
      <c r="C32" s="7">
        <f t="shared" si="0"/>
        <v>29</v>
      </c>
      <c r="D32" s="7"/>
      <c r="E32" s="7"/>
      <c r="F32" s="7"/>
    </row>
    <row r="33" spans="1:6" x14ac:dyDescent="0.35">
      <c r="A33" s="7" t="s">
        <v>27</v>
      </c>
      <c r="B33" s="7">
        <v>7.51</v>
      </c>
      <c r="C33" s="7">
        <f t="shared" si="0"/>
        <v>30</v>
      </c>
      <c r="D33" s="7"/>
      <c r="E33" s="7"/>
      <c r="F33" s="7"/>
    </row>
    <row r="34" spans="1:6" x14ac:dyDescent="0.35">
      <c r="A34" s="7" t="s">
        <v>24</v>
      </c>
      <c r="B34" s="7">
        <v>7.31</v>
      </c>
      <c r="C34" s="7">
        <f t="shared" si="0"/>
        <v>31</v>
      </c>
      <c r="D34" s="7"/>
      <c r="E34" s="7"/>
      <c r="F34" s="7"/>
    </row>
    <row r="35" spans="1:6" x14ac:dyDescent="0.35">
      <c r="A35" s="7" t="s">
        <v>25</v>
      </c>
      <c r="B35" s="7">
        <v>7.17</v>
      </c>
      <c r="C35" s="7">
        <f t="shared" si="0"/>
        <v>32</v>
      </c>
      <c r="D35" s="7"/>
      <c r="E35" s="7"/>
      <c r="F35" s="7"/>
    </row>
    <row r="36" spans="1:6" x14ac:dyDescent="0.35">
      <c r="A36" s="7" t="s">
        <v>31</v>
      </c>
      <c r="B36" s="7">
        <v>7.17</v>
      </c>
      <c r="C36" s="7">
        <f t="shared" si="0"/>
        <v>32</v>
      </c>
      <c r="D36" s="7"/>
      <c r="E36" s="7"/>
      <c r="F36" s="7"/>
    </row>
    <row r="37" spans="1:6" x14ac:dyDescent="0.35">
      <c r="A37" s="7" t="s">
        <v>36</v>
      </c>
      <c r="B37" s="7">
        <v>4.9400000000000004</v>
      </c>
      <c r="C37" s="7">
        <f t="shared" si="0"/>
        <v>34</v>
      </c>
      <c r="D37" s="7"/>
      <c r="E37" s="7"/>
      <c r="F37" s="7"/>
    </row>
    <row r="38" spans="1:6" x14ac:dyDescent="0.35">
      <c r="A38" s="7" t="s">
        <v>27</v>
      </c>
      <c r="B38" s="7">
        <v>4.34</v>
      </c>
      <c r="C38" s="7">
        <f t="shared" si="0"/>
        <v>35</v>
      </c>
      <c r="D38" s="7"/>
      <c r="E38" s="7"/>
      <c r="F38" s="7"/>
    </row>
    <row r="40" spans="1:6" ht="30" x14ac:dyDescent="0.35">
      <c r="A40" s="5" t="s">
        <v>0</v>
      </c>
      <c r="B40" s="6" t="s">
        <v>1</v>
      </c>
      <c r="C40" s="5" t="s">
        <v>2</v>
      </c>
    </row>
    <row r="41" spans="1:6" x14ac:dyDescent="0.35">
      <c r="A41" s="7" t="s">
        <v>24</v>
      </c>
      <c r="B41" s="7">
        <v>7.31</v>
      </c>
      <c r="C41" s="7">
        <f>RANK(B41,$B$4:$B$38,0)</f>
        <v>31</v>
      </c>
    </row>
    <row r="42" spans="1:6" x14ac:dyDescent="0.35">
      <c r="A42" s="7" t="s">
        <v>25</v>
      </c>
      <c r="B42" s="7">
        <v>7.17</v>
      </c>
      <c r="C42" s="7">
        <f>RANK(B42,$B$4:$B$38,0)</f>
        <v>32</v>
      </c>
    </row>
    <row r="43" spans="1:6" x14ac:dyDescent="0.35">
      <c r="A43" s="7" t="s">
        <v>31</v>
      </c>
      <c r="B43" s="7">
        <v>7.17</v>
      </c>
      <c r="C43" s="7">
        <f>RANK(B43,$B$4:$B$38,0)</f>
        <v>32</v>
      </c>
    </row>
    <row r="44" spans="1:6" x14ac:dyDescent="0.35">
      <c r="A44" s="7" t="s">
        <v>36</v>
      </c>
      <c r="B44" s="7">
        <v>4.9400000000000004</v>
      </c>
      <c r="C44" s="7">
        <f>RANK(B44,$B$4:$B$38,0)</f>
        <v>34</v>
      </c>
    </row>
    <row r="45" spans="1:6" x14ac:dyDescent="0.35">
      <c r="A45" s="7" t="s">
        <v>27</v>
      </c>
      <c r="B45" s="7">
        <v>4.34</v>
      </c>
      <c r="C45" s="7">
        <f>RANK(B45,$B$4:$B$38,0)</f>
        <v>35</v>
      </c>
    </row>
  </sheetData>
  <sortState xmlns:xlrd2="http://schemas.microsoft.com/office/spreadsheetml/2017/richdata2" ref="A4:F38">
    <sortCondition ref="C4:C3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2026-06-02T14:56:07Z</dcterms:created>
  <dcterms:modified xsi:type="dcterms:W3CDTF">2026-06-03T07:26:36Z</dcterms:modified>
</cp:coreProperties>
</file>